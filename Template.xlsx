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ekm1/Desktop/"/>
    </mc:Choice>
  </mc:AlternateContent>
  <xr:revisionPtr revIDLastSave="0" documentId="13_ncr:1_{B064F132-4732-C34F-8388-D5F0B5014719}" xr6:coauthVersionLast="47" xr6:coauthVersionMax="47" xr10:uidLastSave="{00000000-0000-0000-0000-000000000000}"/>
  <bookViews>
    <workbookView xWindow="860" yWindow="1760" windowWidth="34740" windowHeight="19680" xr2:uid="{63139DA3-2AAE-014D-AF2B-8E259CF4D64C}"/>
  </bookViews>
  <sheets>
    <sheet name="COURSE NAME" sheetId="1" r:id="rId1"/>
    <sheet name="KEY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J5" i="1"/>
  <c r="G15" i="1"/>
  <c r="G14" i="1"/>
  <c r="G13" i="1"/>
  <c r="G12" i="1"/>
  <c r="G11" i="1"/>
  <c r="G10" i="1"/>
  <c r="G9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<sst xmlns="http://schemas.openxmlformats.org/spreadsheetml/2006/main" count="94" uniqueCount="41">
  <si>
    <t>Module</t>
  </si>
  <si>
    <t>Year</t>
  </si>
  <si>
    <t>Task</t>
  </si>
  <si>
    <t>Likelihood of B-made Input Expected</t>
  </si>
  <si>
    <t>Overall Cohort Size</t>
  </si>
  <si>
    <t>Percentage of Students Expected</t>
  </si>
  <si>
    <t>Student # Expected</t>
  </si>
  <si>
    <t>Activity Start</t>
  </si>
  <si>
    <t>Activity End</t>
  </si>
  <si>
    <t>Tentative or Known?</t>
  </si>
  <si>
    <t>Location</t>
  </si>
  <si>
    <t>Keywords</t>
  </si>
  <si>
    <t>code or descriptor</t>
  </si>
  <si>
    <t>per year group</t>
  </si>
  <si>
    <t>choose from list</t>
  </si>
  <si>
    <t>choose from list:
0 - none
1 - possible
2 - likely
3 - definite</t>
  </si>
  <si>
    <t>students in whole group</t>
  </si>
  <si>
    <t>% expected to attend</t>
  </si>
  <si>
    <t>calculated</t>
  </si>
  <si>
    <t>for planned teaching, e.g. casting, robotics, welding, 3D printing</t>
  </si>
  <si>
    <t>Planned Teaching</t>
  </si>
  <si>
    <t>Known</t>
  </si>
  <si>
    <t>Gordon Street</t>
  </si>
  <si>
    <t>Deadline</t>
  </si>
  <si>
    <t>General / Coursework</t>
  </si>
  <si>
    <t>Tentative</t>
  </si>
  <si>
    <t>Field Trip</t>
  </si>
  <si>
    <t>Crit</t>
  </si>
  <si>
    <t>Here East</t>
  </si>
  <si>
    <t>Exhibition Build</t>
  </si>
  <si>
    <t>Off Site</t>
  </si>
  <si>
    <t>Induction</t>
  </si>
  <si>
    <t>Wicklow Street</t>
  </si>
  <si>
    <t>Marshgate</t>
  </si>
  <si>
    <t>ALL</t>
  </si>
  <si>
    <t>Module Duration</t>
  </si>
  <si>
    <t>EC?</t>
  </si>
  <si>
    <t>Site</t>
  </si>
  <si>
    <t>Likelihood</t>
  </si>
  <si>
    <t>Status</t>
  </si>
  <si>
    <t>Module Code - Module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</si>
</sst>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;@"/>
  </numFmts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1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7" borderId="0" xfId="0" applyFill="1"/>
    <xf numFmtId="14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14" fontId="0" fillId="7" borderId="0" xfId="0" applyNumberFormat="1" applyFill="1" applyAlignment="1">
      <alignment horizont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EFE7-CD97-734A-9069-6AA6DD88B87D}">
  <dimension ref="A1:M75"/>
  <sheetViews>
    <sheetView tabSelected="1" workbookViewId="0">
      <selection activeCell="L3" sqref="L3"/>
    </sheetView>
  </sheetViews>
  <sheetFormatPr baseColWidth="10" defaultColWidth="0" defaultRowHeight="16" zeroHeight="1" x14ac:dyDescent="0.2"/>
  <cols>
    <col min="1" max="1" width="46.5" style="7" bestFit="1" customWidth="1"/>
    <col min="2" max="2" width="9.33203125" style="7" bestFit="1" customWidth="1"/>
    <col min="3" max="3" width="18.83203125" style="7" bestFit="1" customWidth="1"/>
    <col min="4" max="4" width="10.5" style="7" bestFit="1" customWidth="1"/>
    <col min="5" max="5" width="10.83203125" style="7" customWidth="1"/>
    <col min="6" max="6" width="10" style="7" bestFit="1" customWidth="1"/>
    <col min="7" max="7" width="9.6640625" style="7" bestFit="1" customWidth="1"/>
    <col min="8" max="9" width="10.5" style="7" bestFit="1" customWidth="1"/>
    <col min="10" max="10" width="10.83203125" customWidth="1"/>
    <col min="11" max="11" width="10.1640625" style="7" bestFit="1" customWidth="1"/>
    <col min="12" max="12" width="12.5" style="7" bestFit="1" customWidth="1"/>
    <col min="13" max="13" width="32.33203125" style="7" customWidth="1"/>
    <col min="14" max="16384" width="10.83203125" style="7" hidden="1"/>
  </cols>
  <sheetData>
    <row r="1" spans="1:13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36</v>
      </c>
      <c r="K1" s="1" t="s">
        <v>9</v>
      </c>
      <c r="L1" s="1" t="s">
        <v>10</v>
      </c>
      <c r="M1" s="1" t="s">
        <v>11</v>
      </c>
    </row>
    <row r="2" spans="1:13" ht="82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/>
      <c r="I2" s="3"/>
      <c r="J2" s="3"/>
      <c r="K2" s="2" t="s">
        <v>14</v>
      </c>
      <c r="L2" s="2" t="s">
        <v>14</v>
      </c>
      <c r="M2" s="2" t="s">
        <v>19</v>
      </c>
    </row>
    <row r="3" spans="1:13" x14ac:dyDescent="0.2">
      <c r="A3" s="4" t="s">
        <v>34</v>
      </c>
      <c r="B3" s="4">
        <v>1</v>
      </c>
      <c r="C3" s="5" t="s">
        <v>31</v>
      </c>
      <c r="D3" s="6">
        <v>3</v>
      </c>
      <c r="E3" s="7">
        <v>60</v>
      </c>
      <c r="F3" s="7">
        <v>100</v>
      </c>
      <c r="G3" s="6">
        <f t="shared" ref="G3:G15" si="0">ROUNDUP(E3*F3%, 0)</f>
        <v>60</v>
      </c>
      <c r="H3" s="16">
        <v>46293</v>
      </c>
      <c r="I3" s="16">
        <v>46293</v>
      </c>
      <c r="K3" s="8" t="s">
        <v>25</v>
      </c>
      <c r="L3" s="5" t="s">
        <v>22</v>
      </c>
      <c r="M3" s="9"/>
    </row>
    <row r="4" spans="1:13" x14ac:dyDescent="0.2">
      <c r="A4" s="4" t="s">
        <v>40</v>
      </c>
      <c r="B4" s="4">
        <v>1</v>
      </c>
      <c r="C4" s="5" t="s">
        <v>27</v>
      </c>
      <c r="D4" s="6">
        <v>2</v>
      </c>
      <c r="E4" s="7">
        <v>60</v>
      </c>
      <c r="F4" s="7">
        <v>50</v>
      </c>
      <c r="G4" s="6">
        <f t="shared" si="0"/>
        <v>30</v>
      </c>
      <c r="H4" s="16">
        <v>46342</v>
      </c>
      <c r="I4" s="16">
        <v>46342</v>
      </c>
      <c r="K4" s="8" t="s">
        <v>25</v>
      </c>
      <c r="L4" s="10" t="s">
        <v>22</v>
      </c>
      <c r="M4" s="9"/>
    </row>
    <row r="5" spans="1:13" x14ac:dyDescent="0.2">
      <c r="A5" s="4" t="s">
        <v>40</v>
      </c>
      <c r="B5" s="4">
        <v>1</v>
      </c>
      <c r="C5" s="6" t="s">
        <v>23</v>
      </c>
      <c r="D5" s="6">
        <v>2</v>
      </c>
      <c r="E5" s="7">
        <v>60</v>
      </c>
      <c r="F5" s="7">
        <v>50</v>
      </c>
      <c r="G5" s="6">
        <f t="shared" si="0"/>
        <v>30</v>
      </c>
      <c r="H5" s="17">
        <v>46366</v>
      </c>
      <c r="I5" s="17">
        <v>46366</v>
      </c>
      <c r="J5" s="25">
        <f>I5+14</f>
        <v>46380</v>
      </c>
      <c r="K5" s="11" t="s">
        <v>25</v>
      </c>
      <c r="L5" s="6" t="s">
        <v>22</v>
      </c>
    </row>
    <row r="6" spans="1:13" x14ac:dyDescent="0.2">
      <c r="A6" s="4" t="s">
        <v>34</v>
      </c>
      <c r="B6" s="4">
        <v>2</v>
      </c>
      <c r="C6" s="6" t="s">
        <v>26</v>
      </c>
      <c r="D6" s="6">
        <v>0</v>
      </c>
      <c r="E6" s="7">
        <v>60</v>
      </c>
      <c r="F6" s="7">
        <v>100</v>
      </c>
      <c r="G6" s="6">
        <f t="shared" si="0"/>
        <v>60</v>
      </c>
      <c r="H6" s="17">
        <v>46405</v>
      </c>
      <c r="I6" s="17">
        <v>46407</v>
      </c>
      <c r="K6" s="11" t="s">
        <v>25</v>
      </c>
      <c r="L6" s="6" t="s">
        <v>30</v>
      </c>
    </row>
    <row r="7" spans="1:13" x14ac:dyDescent="0.2">
      <c r="A7" s="4" t="s">
        <v>40</v>
      </c>
      <c r="B7" s="4">
        <v>2</v>
      </c>
      <c r="C7" s="6" t="s">
        <v>23</v>
      </c>
      <c r="D7" s="6">
        <v>2</v>
      </c>
      <c r="E7" s="7">
        <v>60</v>
      </c>
      <c r="F7" s="7">
        <v>30</v>
      </c>
      <c r="G7" s="6">
        <f t="shared" si="0"/>
        <v>18</v>
      </c>
      <c r="H7" s="17">
        <v>46426</v>
      </c>
      <c r="I7" s="17">
        <v>46426</v>
      </c>
      <c r="K7" s="11" t="s">
        <v>25</v>
      </c>
      <c r="L7" s="6" t="s">
        <v>22</v>
      </c>
    </row>
    <row r="8" spans="1:13" x14ac:dyDescent="0.2">
      <c r="A8" s="4" t="s">
        <v>40</v>
      </c>
      <c r="B8" s="4">
        <v>3</v>
      </c>
      <c r="C8" s="6" t="s">
        <v>23</v>
      </c>
      <c r="D8" s="6">
        <v>2</v>
      </c>
      <c r="E8" s="7">
        <v>60</v>
      </c>
      <c r="F8" s="7">
        <v>30</v>
      </c>
      <c r="G8" s="6">
        <f t="shared" ref="G8" si="1">ROUNDUP(E8*F8%, 0)</f>
        <v>18</v>
      </c>
      <c r="H8" s="17">
        <v>46426</v>
      </c>
      <c r="I8" s="17">
        <v>46426</v>
      </c>
      <c r="K8" s="11" t="s">
        <v>25</v>
      </c>
      <c r="L8" s="6" t="s">
        <v>22</v>
      </c>
    </row>
    <row r="9" spans="1:13" x14ac:dyDescent="0.2">
      <c r="A9" s="4" t="s">
        <v>40</v>
      </c>
      <c r="B9" s="4">
        <v>3</v>
      </c>
      <c r="C9" s="6" t="s">
        <v>27</v>
      </c>
      <c r="D9" s="6">
        <v>2</v>
      </c>
      <c r="E9" s="7">
        <v>30</v>
      </c>
      <c r="F9" s="7">
        <v>40</v>
      </c>
      <c r="G9" s="6">
        <f t="shared" si="0"/>
        <v>12</v>
      </c>
      <c r="H9" s="17">
        <v>46463</v>
      </c>
      <c r="I9" s="17">
        <v>46463</v>
      </c>
      <c r="K9" s="11" t="s">
        <v>25</v>
      </c>
      <c r="L9" s="6" t="s">
        <v>22</v>
      </c>
    </row>
    <row r="10" spans="1:13" s="18" customFormat="1" x14ac:dyDescent="0.2">
      <c r="A10" s="23" t="s">
        <v>40</v>
      </c>
      <c r="B10" s="18">
        <v>1</v>
      </c>
      <c r="C10" s="19" t="s">
        <v>35</v>
      </c>
      <c r="D10" s="19">
        <v>2</v>
      </c>
      <c r="E10" s="18">
        <v>60</v>
      </c>
      <c r="F10" s="18">
        <v>30</v>
      </c>
      <c r="G10" s="19">
        <f t="shared" si="0"/>
        <v>18</v>
      </c>
      <c r="H10" s="20">
        <v>46293</v>
      </c>
      <c r="I10" s="20">
        <v>46527</v>
      </c>
      <c r="J10" s="21"/>
      <c r="K10" s="22" t="s">
        <v>25</v>
      </c>
      <c r="L10" s="19" t="s">
        <v>22</v>
      </c>
    </row>
    <row r="11" spans="1:13" s="18" customFormat="1" x14ac:dyDescent="0.2">
      <c r="A11" s="23" t="s">
        <v>40</v>
      </c>
      <c r="B11" s="18">
        <v>1</v>
      </c>
      <c r="C11" s="19" t="s">
        <v>35</v>
      </c>
      <c r="D11" s="19">
        <v>2</v>
      </c>
      <c r="E11" s="18">
        <v>60</v>
      </c>
      <c r="F11" s="18">
        <v>30</v>
      </c>
      <c r="G11" s="19">
        <f t="shared" si="0"/>
        <v>18</v>
      </c>
      <c r="H11" s="24">
        <v>46295</v>
      </c>
      <c r="I11" s="24">
        <v>46374</v>
      </c>
      <c r="J11" s="21"/>
      <c r="K11" s="22" t="s">
        <v>25</v>
      </c>
      <c r="L11" s="19" t="s">
        <v>22</v>
      </c>
    </row>
    <row r="12" spans="1:13" s="18" customFormat="1" x14ac:dyDescent="0.2">
      <c r="A12" s="23" t="s">
        <v>40</v>
      </c>
      <c r="B12" s="18">
        <v>2</v>
      </c>
      <c r="C12" s="19" t="s">
        <v>35</v>
      </c>
      <c r="D12" s="19">
        <v>2</v>
      </c>
      <c r="E12" s="18">
        <v>60</v>
      </c>
      <c r="F12" s="18">
        <v>30</v>
      </c>
      <c r="G12" s="19">
        <f t="shared" si="0"/>
        <v>18</v>
      </c>
      <c r="H12" s="20">
        <v>46349</v>
      </c>
      <c r="I12" s="20">
        <v>46527</v>
      </c>
      <c r="J12" s="21"/>
      <c r="K12" s="22" t="s">
        <v>25</v>
      </c>
      <c r="L12" s="19" t="s">
        <v>22</v>
      </c>
    </row>
    <row r="13" spans="1:13" s="18" customFormat="1" x14ac:dyDescent="0.2">
      <c r="A13" s="23" t="s">
        <v>40</v>
      </c>
      <c r="B13" s="18">
        <v>2</v>
      </c>
      <c r="C13" s="19" t="s">
        <v>35</v>
      </c>
      <c r="D13" s="19">
        <v>2</v>
      </c>
      <c r="E13" s="18">
        <v>60</v>
      </c>
      <c r="F13" s="18">
        <v>10</v>
      </c>
      <c r="G13" s="19">
        <f t="shared" si="0"/>
        <v>6</v>
      </c>
      <c r="H13" s="20">
        <v>46297</v>
      </c>
      <c r="I13" s="20">
        <v>46451</v>
      </c>
      <c r="J13" s="21"/>
      <c r="K13" s="22" t="s">
        <v>25</v>
      </c>
      <c r="L13" s="19" t="s">
        <v>22</v>
      </c>
    </row>
    <row r="14" spans="1:13" s="18" customFormat="1" x14ac:dyDescent="0.2">
      <c r="A14" s="23" t="s">
        <v>40</v>
      </c>
      <c r="B14" s="18">
        <v>3</v>
      </c>
      <c r="C14" s="19" t="s">
        <v>35</v>
      </c>
      <c r="D14" s="19">
        <v>1</v>
      </c>
      <c r="E14" s="18">
        <v>60</v>
      </c>
      <c r="F14" s="18">
        <v>5</v>
      </c>
      <c r="G14" s="19">
        <f t="shared" si="0"/>
        <v>3</v>
      </c>
      <c r="H14" s="20">
        <v>46297</v>
      </c>
      <c r="I14" s="20">
        <v>46451</v>
      </c>
      <c r="J14" s="21"/>
      <c r="K14" s="22" t="s">
        <v>25</v>
      </c>
      <c r="L14" s="19" t="s">
        <v>22</v>
      </c>
    </row>
    <row r="15" spans="1:13" s="18" customFormat="1" x14ac:dyDescent="0.2">
      <c r="A15" s="23" t="s">
        <v>40</v>
      </c>
      <c r="B15" s="18">
        <v>3</v>
      </c>
      <c r="C15" s="19" t="s">
        <v>35</v>
      </c>
      <c r="D15" s="19">
        <v>1</v>
      </c>
      <c r="E15" s="18">
        <v>60</v>
      </c>
      <c r="F15" s="18">
        <v>5</v>
      </c>
      <c r="G15" s="19">
        <f t="shared" si="0"/>
        <v>3</v>
      </c>
      <c r="H15" s="20">
        <v>46400</v>
      </c>
      <c r="I15" s="20">
        <v>46506</v>
      </c>
      <c r="J15" s="21"/>
      <c r="K15" s="22" t="s">
        <v>25</v>
      </c>
      <c r="L15" s="19" t="s">
        <v>22</v>
      </c>
    </row>
    <row r="16" spans="1:13" x14ac:dyDescent="0.2">
      <c r="C16" s="6"/>
      <c r="D16" s="6"/>
      <c r="G16" s="6"/>
      <c r="H16" s="17"/>
      <c r="I16" s="17"/>
      <c r="K16" s="11"/>
      <c r="L16" s="6"/>
    </row>
    <row r="17" spans="1:12" x14ac:dyDescent="0.2">
      <c r="C17" s="6"/>
      <c r="D17" s="6"/>
      <c r="G17" s="6"/>
      <c r="H17" s="17"/>
      <c r="I17" s="17"/>
      <c r="K17" s="11"/>
      <c r="L17" s="6"/>
    </row>
    <row r="18" spans="1:12" x14ac:dyDescent="0.2">
      <c r="C18" s="6"/>
      <c r="D18" s="6"/>
      <c r="G18" s="6"/>
      <c r="H18" s="17"/>
      <c r="I18" s="17"/>
      <c r="K18" s="11"/>
      <c r="L18" s="6"/>
    </row>
    <row r="19" spans="1:12" x14ac:dyDescent="0.2">
      <c r="C19" s="6"/>
      <c r="D19" s="6"/>
      <c r="G19" s="6"/>
      <c r="H19" s="17"/>
      <c r="I19" s="17"/>
      <c r="K19" s="11"/>
      <c r="L19" s="6"/>
    </row>
    <row r="20" spans="1:12" x14ac:dyDescent="0.2">
      <c r="C20" s="6"/>
      <c r="D20" s="6"/>
      <c r="G20" s="6"/>
      <c r="H20" s="17"/>
      <c r="I20" s="17"/>
      <c r="K20" s="11"/>
      <c r="L20" s="6"/>
    </row>
    <row r="21" spans="1:12" x14ac:dyDescent="0.2">
      <c r="C21" s="6"/>
      <c r="D21" s="6"/>
      <c r="G21" s="6"/>
      <c r="H21" s="17"/>
      <c r="I21" s="17"/>
      <c r="K21" s="11"/>
      <c r="L21" s="6"/>
    </row>
    <row r="22" spans="1:12" x14ac:dyDescent="0.2">
      <c r="C22" s="6"/>
      <c r="D22" s="6"/>
      <c r="G22" s="6"/>
      <c r="H22" s="17"/>
      <c r="I22" s="17"/>
      <c r="J22" s="25"/>
      <c r="K22" s="11"/>
      <c r="L22" s="6"/>
    </row>
    <row r="23" spans="1:12" x14ac:dyDescent="0.2">
      <c r="A23" s="4"/>
      <c r="C23" s="6"/>
      <c r="D23" s="6"/>
      <c r="G23" s="6"/>
      <c r="H23" s="17"/>
      <c r="I23" s="17"/>
      <c r="K23" s="11"/>
      <c r="L23" s="6"/>
    </row>
    <row r="24" spans="1:12" x14ac:dyDescent="0.2">
      <c r="C24" s="6"/>
      <c r="D24" s="6"/>
      <c r="G24" s="6"/>
      <c r="H24" s="17"/>
      <c r="I24" s="17"/>
      <c r="K24" s="11"/>
      <c r="L24" s="6"/>
    </row>
    <row r="25" spans="1:12" x14ac:dyDescent="0.2">
      <c r="C25" s="6"/>
      <c r="D25" s="6"/>
      <c r="G25" s="6"/>
      <c r="H25" s="17"/>
      <c r="I25" s="17"/>
      <c r="K25" s="11"/>
      <c r="L25" s="6"/>
    </row>
    <row r="26" spans="1:12" x14ac:dyDescent="0.2">
      <c r="C26" s="6"/>
      <c r="D26" s="6"/>
      <c r="G26" s="6"/>
      <c r="H26" s="17"/>
      <c r="I26" s="17"/>
      <c r="K26" s="11"/>
      <c r="L26" s="6"/>
    </row>
    <row r="27" spans="1:12" x14ac:dyDescent="0.2">
      <c r="C27" s="6"/>
      <c r="D27" s="6"/>
      <c r="G27" s="6"/>
      <c r="H27" s="17"/>
      <c r="I27" s="17"/>
      <c r="J27" s="25"/>
      <c r="K27" s="11"/>
      <c r="L27" s="6"/>
    </row>
    <row r="28" spans="1:12" x14ac:dyDescent="0.2">
      <c r="C28" s="6"/>
      <c r="D28" s="6"/>
      <c r="G28" s="6"/>
      <c r="H28" s="17"/>
      <c r="I28" s="17"/>
      <c r="K28" s="11"/>
      <c r="L28" s="6"/>
    </row>
    <row r="29" spans="1:12" x14ac:dyDescent="0.2">
      <c r="C29" s="6"/>
      <c r="D29" s="6"/>
      <c r="G29" s="6"/>
      <c r="H29" s="17"/>
      <c r="I29" s="17"/>
      <c r="K29" s="11"/>
      <c r="L29" s="6"/>
    </row>
    <row r="30" spans="1:12" x14ac:dyDescent="0.2">
      <c r="C30" s="6"/>
      <c r="D30" s="6"/>
      <c r="G30" s="6"/>
      <c r="H30" s="17"/>
      <c r="I30" s="17"/>
      <c r="J30" s="25"/>
      <c r="K30" s="11"/>
      <c r="L30" s="6"/>
    </row>
    <row r="31" spans="1:12" x14ac:dyDescent="0.2">
      <c r="C31" s="6"/>
      <c r="D31" s="6"/>
      <c r="G31" s="6"/>
      <c r="H31" s="17"/>
      <c r="I31" s="17"/>
      <c r="J31" s="25"/>
      <c r="K31" s="11"/>
      <c r="L31" s="6"/>
    </row>
    <row r="32" spans="1:12" x14ac:dyDescent="0.2">
      <c r="C32" s="6"/>
      <c r="D32" s="6"/>
      <c r="G32" s="6"/>
      <c r="H32" s="17"/>
      <c r="I32" s="17"/>
      <c r="J32" s="25"/>
      <c r="K32" s="11"/>
      <c r="L32" s="6"/>
    </row>
    <row r="33" spans="1:12" x14ac:dyDescent="0.2">
      <c r="A33" s="4"/>
      <c r="C33" s="6"/>
      <c r="D33" s="6"/>
      <c r="G33" s="6"/>
      <c r="H33" s="17"/>
      <c r="I33" s="17"/>
      <c r="K33" s="11"/>
      <c r="L33" s="6"/>
    </row>
    <row r="34" spans="1:12" x14ac:dyDescent="0.2">
      <c r="A34" s="4"/>
      <c r="C34" s="6"/>
      <c r="D34" s="6"/>
      <c r="G34" s="6"/>
      <c r="H34" s="17"/>
      <c r="I34" s="17"/>
      <c r="K34" s="11"/>
      <c r="L34" s="6"/>
    </row>
    <row r="35" spans="1:12" x14ac:dyDescent="0.2">
      <c r="C35" s="6"/>
      <c r="D35" s="6"/>
      <c r="G35" s="6"/>
      <c r="H35" s="30"/>
      <c r="I35" s="30"/>
      <c r="K35" s="11"/>
      <c r="L35" s="6"/>
    </row>
    <row r="36" spans="1:12" x14ac:dyDescent="0.2">
      <c r="A36" s="4"/>
      <c r="C36" s="6"/>
      <c r="D36" s="6"/>
      <c r="G36" s="6"/>
      <c r="H36" s="30"/>
      <c r="I36" s="17"/>
      <c r="K36" s="11"/>
      <c r="L36" s="6"/>
    </row>
    <row r="37" spans="1:12" x14ac:dyDescent="0.2">
      <c r="A37" s="4"/>
      <c r="C37" s="6"/>
      <c r="D37" s="6"/>
      <c r="G37" s="6"/>
      <c r="H37" s="17"/>
      <c r="I37" s="17"/>
      <c r="K37" s="11"/>
      <c r="L37" s="6"/>
    </row>
    <row r="38" spans="1:12" x14ac:dyDescent="0.2">
      <c r="A38" s="4"/>
      <c r="C38" s="6"/>
      <c r="D38" s="6"/>
      <c r="G38" s="6"/>
      <c r="H38" s="17"/>
      <c r="I38" s="17"/>
      <c r="K38" s="11"/>
      <c r="L38" s="6"/>
    </row>
    <row r="39" spans="1:12" x14ac:dyDescent="0.2">
      <c r="C39" s="6"/>
      <c r="D39" s="6"/>
      <c r="G39" s="6"/>
      <c r="H39" s="17"/>
      <c r="I39" s="17"/>
      <c r="K39" s="11"/>
      <c r="L39" s="6"/>
    </row>
    <row r="40" spans="1:12" x14ac:dyDescent="0.2">
      <c r="C40" s="6"/>
      <c r="D40" s="6"/>
      <c r="G40" s="6"/>
      <c r="H40" s="17"/>
      <c r="I40" s="17"/>
      <c r="K40" s="11"/>
      <c r="L40" s="6"/>
    </row>
    <row r="41" spans="1:12" x14ac:dyDescent="0.2">
      <c r="C41" s="6"/>
      <c r="D41" s="6"/>
      <c r="G41" s="6"/>
      <c r="H41" s="17"/>
      <c r="I41" s="17"/>
      <c r="K41" s="11"/>
      <c r="L41" s="6"/>
    </row>
    <row r="42" spans="1:12" x14ac:dyDescent="0.2">
      <c r="C42" s="6"/>
      <c r="D42" s="6"/>
      <c r="G42" s="6"/>
      <c r="H42" s="17"/>
      <c r="I42" s="17"/>
      <c r="K42" s="11"/>
      <c r="L42" s="6"/>
    </row>
    <row r="43" spans="1:12" x14ac:dyDescent="0.2">
      <c r="C43" s="6"/>
      <c r="D43" s="6"/>
      <c r="G43" s="6"/>
      <c r="H43" s="17"/>
      <c r="I43" s="17"/>
      <c r="J43" s="25"/>
      <c r="K43" s="11"/>
      <c r="L43" s="6"/>
    </row>
    <row r="44" spans="1:12" x14ac:dyDescent="0.2">
      <c r="C44" s="6"/>
      <c r="D44" s="6"/>
      <c r="G44" s="6"/>
      <c r="H44" s="17"/>
      <c r="I44" s="17"/>
      <c r="K44" s="11"/>
      <c r="L44" s="6"/>
    </row>
    <row r="45" spans="1:12" x14ac:dyDescent="0.2">
      <c r="C45" s="6"/>
      <c r="D45" s="6"/>
      <c r="G45" s="6"/>
      <c r="H45" s="17"/>
      <c r="I45" s="17"/>
      <c r="K45" s="11"/>
      <c r="L45" s="6"/>
    </row>
    <row r="46" spans="1:12" x14ac:dyDescent="0.2">
      <c r="C46" s="6"/>
      <c r="D46" s="6"/>
      <c r="G46" s="6"/>
      <c r="H46" s="17"/>
      <c r="I46" s="17"/>
      <c r="J46" s="25"/>
      <c r="K46" s="11"/>
      <c r="L46" s="6"/>
    </row>
    <row r="47" spans="1:12" x14ac:dyDescent="0.2">
      <c r="C47" s="6"/>
      <c r="D47" s="6"/>
      <c r="G47" s="6"/>
      <c r="H47" s="17"/>
      <c r="I47" s="17"/>
      <c r="K47" s="11"/>
      <c r="L47" s="6"/>
    </row>
    <row r="48" spans="1:12" x14ac:dyDescent="0.2">
      <c r="C48" s="6"/>
      <c r="D48" s="6"/>
      <c r="G48" s="6"/>
      <c r="H48" s="30"/>
      <c r="I48" s="30"/>
      <c r="J48" s="25"/>
      <c r="K48" s="11"/>
      <c r="L48" s="6"/>
    </row>
    <row r="49" spans="1:12" x14ac:dyDescent="0.2">
      <c r="C49" s="6"/>
      <c r="D49" s="6"/>
      <c r="G49" s="6"/>
      <c r="H49" s="30"/>
      <c r="I49" s="30"/>
      <c r="J49" s="25"/>
      <c r="K49" s="11"/>
      <c r="L49" s="6"/>
    </row>
    <row r="50" spans="1:12" x14ac:dyDescent="0.2">
      <c r="C50" s="6"/>
      <c r="D50" s="6"/>
      <c r="G50" s="6"/>
      <c r="H50" s="17"/>
      <c r="I50" s="17"/>
      <c r="K50" s="11"/>
      <c r="L50" s="6"/>
    </row>
    <row r="51" spans="1:12" x14ac:dyDescent="0.2">
      <c r="A51" s="4"/>
      <c r="C51" s="6"/>
      <c r="D51" s="6"/>
      <c r="G51" s="6"/>
      <c r="H51" s="17"/>
      <c r="I51" s="17"/>
      <c r="K51" s="11"/>
      <c r="L51" s="6"/>
    </row>
    <row r="52" spans="1:12" x14ac:dyDescent="0.2">
      <c r="C52" s="6"/>
      <c r="D52" s="6"/>
      <c r="G52" s="6"/>
      <c r="H52" s="30"/>
      <c r="I52" s="30"/>
      <c r="K52" s="11"/>
      <c r="L52" s="6"/>
    </row>
    <row r="53" spans="1:12" x14ac:dyDescent="0.2">
      <c r="A53" s="4"/>
      <c r="C53" s="6"/>
      <c r="D53" s="6"/>
      <c r="G53" s="6"/>
      <c r="H53" s="17"/>
      <c r="I53" s="17"/>
      <c r="K53" s="11"/>
      <c r="L53" s="6"/>
    </row>
    <row r="54" spans="1:12" x14ac:dyDescent="0.2">
      <c r="A54" s="4"/>
      <c r="C54" s="6"/>
      <c r="D54" s="6"/>
      <c r="G54" s="6"/>
      <c r="H54" s="17"/>
      <c r="I54" s="17"/>
      <c r="K54" s="11"/>
      <c r="L54" s="6"/>
    </row>
    <row r="55" spans="1:12" x14ac:dyDescent="0.2">
      <c r="C55" s="6"/>
      <c r="D55" s="6"/>
      <c r="G55" s="6"/>
      <c r="H55" s="17"/>
      <c r="I55" s="17"/>
      <c r="K55" s="11"/>
      <c r="L55" s="6"/>
    </row>
    <row r="56" spans="1:12" x14ac:dyDescent="0.2">
      <c r="C56" s="6"/>
      <c r="D56" s="6"/>
      <c r="G56" s="6"/>
      <c r="H56" s="17"/>
      <c r="I56" s="17"/>
      <c r="K56" s="11"/>
      <c r="L56" s="6"/>
    </row>
    <row r="57" spans="1:12" x14ac:dyDescent="0.2">
      <c r="C57" s="6"/>
      <c r="D57" s="6"/>
      <c r="G57" s="6"/>
      <c r="H57" s="17"/>
      <c r="I57" s="17"/>
      <c r="J57" s="25"/>
      <c r="K57" s="11"/>
      <c r="L57" s="6"/>
    </row>
    <row r="58" spans="1:12" x14ac:dyDescent="0.2">
      <c r="C58" s="6"/>
      <c r="D58" s="6"/>
      <c r="G58" s="6"/>
      <c r="H58" s="17"/>
      <c r="I58" s="17"/>
      <c r="K58" s="11"/>
      <c r="L58" s="6"/>
    </row>
    <row r="59" spans="1:12" x14ac:dyDescent="0.2">
      <c r="C59" s="6"/>
      <c r="D59" s="6"/>
      <c r="G59" s="6"/>
      <c r="H59" s="30"/>
      <c r="I59" s="30"/>
      <c r="J59" s="25"/>
      <c r="K59" s="11"/>
      <c r="L59" s="6"/>
    </row>
    <row r="60" spans="1:12" x14ac:dyDescent="0.2">
      <c r="C60" s="6"/>
      <c r="D60" s="6"/>
      <c r="G60" s="6"/>
      <c r="H60" s="30"/>
      <c r="I60" s="30"/>
      <c r="J60" s="25"/>
      <c r="K60" s="11"/>
      <c r="L60" s="6"/>
    </row>
    <row r="61" spans="1:12" x14ac:dyDescent="0.2">
      <c r="C61" s="6"/>
      <c r="D61" s="6"/>
      <c r="G61" s="6"/>
      <c r="H61" s="17"/>
      <c r="I61" s="17"/>
      <c r="K61" s="11"/>
      <c r="L61" s="6"/>
    </row>
    <row r="62" spans="1:12" x14ac:dyDescent="0.2">
      <c r="C62" s="6"/>
      <c r="D62" s="6"/>
      <c r="G62" s="6"/>
      <c r="H62" s="17"/>
      <c r="I62" s="17"/>
      <c r="K62" s="11"/>
      <c r="L62" s="6"/>
    </row>
    <row r="63" spans="1:12" x14ac:dyDescent="0.2">
      <c r="C63" s="6"/>
      <c r="D63" s="6"/>
      <c r="G63" s="6"/>
      <c r="H63" s="17"/>
      <c r="I63" s="17"/>
      <c r="K63" s="11"/>
      <c r="L63" s="6"/>
    </row>
    <row r="64" spans="1:12" x14ac:dyDescent="0.2">
      <c r="C64" s="6"/>
      <c r="D64" s="6"/>
      <c r="G64" s="6"/>
      <c r="H64" s="17"/>
      <c r="I64" s="17"/>
      <c r="J64" s="25"/>
      <c r="K64" s="11"/>
      <c r="L64" s="6"/>
    </row>
    <row r="65" spans="3:12" x14ac:dyDescent="0.2">
      <c r="C65" s="6"/>
      <c r="D65" s="6"/>
      <c r="G65" s="6"/>
      <c r="H65" s="17"/>
      <c r="I65" s="17"/>
      <c r="K65" s="11"/>
      <c r="L65" s="6"/>
    </row>
    <row r="66" spans="3:12" x14ac:dyDescent="0.2">
      <c r="C66" s="6"/>
      <c r="D66" s="6"/>
      <c r="G66" s="6"/>
      <c r="H66" s="30"/>
      <c r="I66" s="30"/>
      <c r="J66" s="25"/>
      <c r="K66" s="11"/>
      <c r="L66" s="6"/>
    </row>
    <row r="67" spans="3:12" x14ac:dyDescent="0.2">
      <c r="C67" s="6"/>
      <c r="D67" s="6"/>
      <c r="G67" s="6"/>
      <c r="H67" s="30"/>
      <c r="I67" s="30"/>
      <c r="J67" s="25"/>
      <c r="K67" s="11"/>
      <c r="L67" s="6"/>
    </row>
    <row r="68" spans="3:12" x14ac:dyDescent="0.2">
      <c r="C68" s="6"/>
      <c r="D68" s="6"/>
      <c r="G68" s="6"/>
      <c r="H68" s="17"/>
      <c r="I68" s="17"/>
      <c r="K68" s="11"/>
      <c r="L68" s="6"/>
    </row>
    <row r="69" spans="3:12" x14ac:dyDescent="0.2">
      <c r="C69" s="6"/>
      <c r="D69" s="6"/>
      <c r="G69" s="6"/>
      <c r="H69" s="17"/>
      <c r="I69" s="17"/>
      <c r="K69" s="11"/>
      <c r="L69" s="6"/>
    </row>
    <row r="70" spans="3:12" x14ac:dyDescent="0.2">
      <c r="C70" s="6"/>
      <c r="D70" s="6"/>
      <c r="G70" s="6"/>
      <c r="H70" s="17"/>
      <c r="I70" s="17"/>
      <c r="K70" s="11"/>
      <c r="L70" s="6"/>
    </row>
    <row r="71" spans="3:12" x14ac:dyDescent="0.2">
      <c r="C71" s="6"/>
      <c r="D71" s="6"/>
      <c r="G71" s="6"/>
      <c r="H71" s="17"/>
      <c r="I71" s="17"/>
      <c r="K71" s="11"/>
      <c r="L71" s="6"/>
    </row>
    <row r="72" spans="3:12" x14ac:dyDescent="0.2">
      <c r="C72" s="6"/>
      <c r="D72" s="6"/>
      <c r="G72" s="6"/>
      <c r="H72" s="17"/>
      <c r="I72" s="17"/>
      <c r="K72" s="11"/>
      <c r="L72" s="6"/>
    </row>
    <row r="73" spans="3:12" x14ac:dyDescent="0.2">
      <c r="C73" s="6"/>
      <c r="D73" s="6"/>
      <c r="G73" s="6"/>
      <c r="H73" s="17"/>
      <c r="I73" s="17"/>
      <c r="K73" s="11"/>
      <c r="L73" s="6"/>
    </row>
    <row r="74" spans="3:12" x14ac:dyDescent="0.2">
      <c r="C74" s="6"/>
      <c r="D74" s="6"/>
      <c r="G74" s="6"/>
      <c r="H74" s="17"/>
      <c r="I74" s="17"/>
      <c r="K74" s="11"/>
      <c r="L74" s="6"/>
    </row>
    <row r="75" spans="3:12" x14ac:dyDescent="0.2">
      <c r="C75" s="6"/>
      <c r="D75" s="6"/>
      <c r="G75" s="6"/>
      <c r="H75" s="17"/>
      <c r="I75" s="17"/>
      <c r="K75" s="11"/>
      <c r="L75" s="6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5F5CA5-1EC0-824F-B71B-1C02EEA82470}">
          <x14:formula1>
            <xm:f>KEYS!$B$17:$B$20</xm:f>
          </x14:formula1>
          <xm:sqref>D3:D75</xm:sqref>
        </x14:dataValidation>
        <x14:dataValidation type="list" allowBlank="1" showInputMessage="1" showErrorMessage="1" xr:uid="{3658271E-3007-7F44-9A4A-CA8870E89425}">
          <x14:formula1>
            <xm:f>KEYS!$B$22:$B$23</xm:f>
          </x14:formula1>
          <xm:sqref>K3:K75</xm:sqref>
        </x14:dataValidation>
        <x14:dataValidation type="list" allowBlank="1" showInputMessage="1" showErrorMessage="1" xr:uid="{848E1D04-BE49-A941-92BD-B47CD6F5AC00}">
          <x14:formula1>
            <xm:f>KEYS!$B$2:$B$9</xm:f>
          </x14:formula1>
          <xm:sqref>C3:C75</xm:sqref>
        </x14:dataValidation>
        <x14:dataValidation type="list" allowBlank="1" showInputMessage="1" showErrorMessage="1" xr:uid="{7049AEC8-2D38-EB44-AD0B-D5E41FF5E481}">
          <x14:formula1>
            <xm:f>KEYS!$B$11:$B$15</xm:f>
          </x14:formula1>
          <xm:sqref>L3:L75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D51D-2243-4249-825C-F16A725FFAE5}">
  <dimension ref="A1:B23"/>
  <sheetViews>
    <sheetView workbookViewId="0">
      <selection activeCell="D21" sqref="D21"/>
    </sheetView>
  </sheetViews>
  <sheetFormatPr baseColWidth="10" defaultRowHeight="16" x14ac:dyDescent="0.2"/>
  <cols>
    <col min="1" max="1" width="9.6640625" style="26" bestFit="1" customWidth="1"/>
    <col min="2" max="2" width="18.83203125" style="26" bestFit="1" customWidth="1"/>
  </cols>
  <sheetData>
    <row r="1" spans="1:2" x14ac:dyDescent="0.2">
      <c r="A1" s="29" t="s">
        <v>2</v>
      </c>
    </row>
    <row r="2" spans="1:2" x14ac:dyDescent="0.2">
      <c r="B2" s="27" t="s">
        <v>20</v>
      </c>
    </row>
    <row r="3" spans="1:2" x14ac:dyDescent="0.2">
      <c r="B3" s="27" t="s">
        <v>23</v>
      </c>
    </row>
    <row r="4" spans="1:2" x14ac:dyDescent="0.2">
      <c r="B4" s="26" t="s">
        <v>26</v>
      </c>
    </row>
    <row r="5" spans="1:2" x14ac:dyDescent="0.2">
      <c r="B5" s="26" t="s">
        <v>29</v>
      </c>
    </row>
    <row r="6" spans="1:2" x14ac:dyDescent="0.2">
      <c r="B6" s="26" t="s">
        <v>24</v>
      </c>
    </row>
    <row r="7" spans="1:2" x14ac:dyDescent="0.2">
      <c r="B7" s="26" t="s">
        <v>27</v>
      </c>
    </row>
    <row r="8" spans="1:2" x14ac:dyDescent="0.2">
      <c r="B8" s="26" t="s">
        <v>31</v>
      </c>
    </row>
    <row r="9" spans="1:2" x14ac:dyDescent="0.2">
      <c r="B9" s="26" t="s">
        <v>35</v>
      </c>
    </row>
    <row r="10" spans="1:2" x14ac:dyDescent="0.2">
      <c r="A10" s="29" t="s">
        <v>37</v>
      </c>
    </row>
    <row r="11" spans="1:2" x14ac:dyDescent="0.2">
      <c r="B11" s="28" t="s">
        <v>22</v>
      </c>
    </row>
    <row r="12" spans="1:2" x14ac:dyDescent="0.2">
      <c r="B12" s="26" t="s">
        <v>32</v>
      </c>
    </row>
    <row r="13" spans="1:2" x14ac:dyDescent="0.2">
      <c r="B13" s="26" t="s">
        <v>28</v>
      </c>
    </row>
    <row r="14" spans="1:2" x14ac:dyDescent="0.2">
      <c r="B14" s="26" t="s">
        <v>33</v>
      </c>
    </row>
    <row r="15" spans="1:2" x14ac:dyDescent="0.2">
      <c r="B15" s="26" t="s">
        <v>30</v>
      </c>
    </row>
    <row r="16" spans="1:2" x14ac:dyDescent="0.2">
      <c r="A16" s="29" t="s">
        <v>38</v>
      </c>
    </row>
    <row r="17" spans="1:2" x14ac:dyDescent="0.2">
      <c r="B17" s="12">
        <v>0</v>
      </c>
    </row>
    <row r="18" spans="1:2" x14ac:dyDescent="0.2">
      <c r="B18" s="13">
        <v>1</v>
      </c>
    </row>
    <row r="19" spans="1:2" x14ac:dyDescent="0.2">
      <c r="B19" s="14">
        <v>2</v>
      </c>
    </row>
    <row r="20" spans="1:2" x14ac:dyDescent="0.2">
      <c r="B20" s="15">
        <v>3</v>
      </c>
    </row>
    <row r="21" spans="1:2" x14ac:dyDescent="0.2">
      <c r="A21" s="29" t="s">
        <v>39</v>
      </c>
    </row>
    <row r="22" spans="1:2" x14ac:dyDescent="0.2">
      <c r="B22" s="7" t="s">
        <v>25</v>
      </c>
    </row>
    <row r="23" spans="1:2" x14ac:dyDescent="0.2">
      <c r="B23" s="7" t="s">
        <v>21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NAME</vt:lpstr>
      <vt:lpstr>KEYS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Kate Matthews</dc:creator>
  <cp:keywords/>
  <dc:description/>
  <cp:lastModifiedBy>Emma Kate Matthews</cp:lastModifiedBy>
  <cp:revision/>
  <dcterms:created xsi:type="dcterms:W3CDTF">2026-02-26T20:20:00Z</dcterms:created>
  <dcterms:modified xsi:type="dcterms:W3CDTF">2026-04-01T20:14:12Z</dcterms:modified>
  <cp:category/>
  <cp:contentStatus/>
</cp:coreProperties>
</file>